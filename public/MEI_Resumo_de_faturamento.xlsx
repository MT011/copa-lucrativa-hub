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ichau\Desktop\"/>
    </mc:Choice>
  </mc:AlternateContent>
  <bookViews>
    <workbookView xWindow="0" yWindow="0" windowWidth="20490" windowHeight="7755"/>
  </bookViews>
  <sheets>
    <sheet name="RESUMO DE FATURAMENT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B15" i="1"/>
  <c r="C15" i="1"/>
  <c r="D4" i="1"/>
  <c r="D5" i="1"/>
  <c r="D6" i="1"/>
  <c r="D8" i="1"/>
  <c r="D9" i="1"/>
  <c r="D10" i="1"/>
  <c r="D11" i="1"/>
  <c r="D12" i="1"/>
  <c r="D13" i="1"/>
  <c r="D14" i="1"/>
  <c r="D3" i="1"/>
  <c r="D15" i="1" l="1"/>
  <c r="B16" i="1" s="1"/>
  <c r="B17" i="1"/>
  <c r="C16" i="1" l="1"/>
</calcChain>
</file>

<file path=xl/sharedStrings.xml><?xml version="1.0" encoding="utf-8"?>
<sst xmlns="http://schemas.openxmlformats.org/spreadsheetml/2006/main" count="34" uniqueCount="34">
  <si>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</si>
  <si>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</si>
  <si>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</si>
  <si>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</si>
  <si>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</si>
  <si>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</si>
  <si>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</si>
  <si>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</si>
  <si>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</si>
  <si>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</si>
  <si>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</si>
  <si>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</si>
  <si>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VENDAS A VISTA</t>
  </si>
  <si>
    <t>VENDAS NO CARTÃO</t>
  </si>
  <si>
    <t>MÊS</t>
  </si>
  <si>
    <t xml:space="preserve">TOTAL </t>
  </si>
  <si>
    <t xml:space="preserve">TOTAL ANUAL </t>
  </si>
  <si>
    <t>TOTAL MENSAL</t>
  </si>
  <si>
    <t>RESUMO DE FATURAMENTO - 2021</t>
  </si>
  <si>
    <t>PERCENTUAL</t>
  </si>
  <si>
    <t>Instagram</t>
  </si>
  <si>
    <r>
      <t xml:space="preserve">Se quiser acessar mais conteudos sobre </t>
    </r>
    <r>
      <rPr>
        <b/>
        <sz val="13"/>
        <color theme="1"/>
        <rFont val="Calibri"/>
        <family val="2"/>
        <scheme val="minor"/>
      </rPr>
      <t>MEI</t>
    </r>
    <r>
      <rPr>
        <sz val="13"/>
        <color theme="1"/>
        <rFont val="Calibri"/>
        <family val="2"/>
        <scheme val="minor"/>
      </rPr>
      <t xml:space="preserve"> e </t>
    </r>
    <r>
      <rPr>
        <b/>
        <sz val="13"/>
        <color theme="1"/>
        <rFont val="Calibri"/>
        <family val="2"/>
        <scheme val="minor"/>
      </rPr>
      <t>empreendedorismo</t>
    </r>
    <r>
      <rPr>
        <sz val="13"/>
        <color theme="1"/>
        <rFont val="Calibri"/>
        <family val="2"/>
        <scheme val="minor"/>
      </rPr>
      <t xml:space="preserve"> acesse os links abaixo:</t>
    </r>
  </si>
  <si>
    <t>5 Dicas sobre MEI</t>
  </si>
  <si>
    <t>Custos fixos de uma loja MEI</t>
  </si>
  <si>
    <t xml:space="preserve">Planilha de precificação </t>
  </si>
  <si>
    <t>Técnicas de precificação</t>
  </si>
  <si>
    <t>Planner de metas</t>
  </si>
  <si>
    <t>Dicas para sua primeira vez no BRÁS</t>
  </si>
  <si>
    <t>Como criar uma loja online sem gastar nada</t>
  </si>
  <si>
    <t>Como fazer cheirinho pra loja</t>
  </si>
  <si>
    <t>Canal no Youtube</t>
  </si>
  <si>
    <r>
      <t xml:space="preserve">Criado por </t>
    </r>
    <r>
      <rPr>
        <b/>
        <sz val="11"/>
        <color theme="1"/>
        <rFont val="Calibri"/>
        <family val="2"/>
        <scheme val="minor"/>
      </rPr>
      <t>Nayara Sousa</t>
    </r>
    <r>
      <rPr>
        <sz val="11"/>
        <color theme="1"/>
        <rFont val="Calibri"/>
        <family val="2"/>
        <scheme val="minor"/>
      </rPr>
      <t xml:space="preserve"> acompanhe nossas redes sociais:</t>
    </r>
  </si>
  <si>
    <t>Catnine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</si>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</sst>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0" fillId="3" borderId="0" xfId="0" applyFill="1" applyBorder="1"/>
    <xf numFmtId="0" fontId="0" fillId="0" borderId="0" xfId="0" applyFill="1"/>
    <xf numFmtId="44" fontId="4" fillId="3" borderId="0" xfId="1" applyFont="1" applyFill="1" applyBorder="1" applyAlignment="1">
      <alignment horizontal="center"/>
    </xf>
    <xf numFmtId="0" fontId="0" fillId="3" borderId="0" xfId="0" applyFill="1"/>
    <xf numFmtId="0" fontId="3" fillId="3" borderId="0" xfId="0" applyFont="1" applyFill="1" applyBorder="1" applyAlignment="1" applyProtection="1">
      <alignment horizontal="center" vertical="center"/>
      <protection hidden="1"/>
    </xf>
    <xf numFmtId="0" fontId="0" fillId="3" borderId="0" xfId="0" applyFill="1" applyProtection="1">
      <protection hidden="1"/>
    </xf>
    <xf numFmtId="0" fontId="4" fillId="3" borderId="0" xfId="0" applyFont="1" applyFill="1" applyBorder="1" applyAlignment="1" applyProtection="1">
      <alignment horizontal="center" vertical="center"/>
      <protection hidden="1"/>
    </xf>
    <xf numFmtId="44" fontId="5" fillId="3" borderId="0" xfId="1" applyFont="1" applyFill="1" applyBorder="1" applyProtection="1">
      <protection hidden="1"/>
    </xf>
    <xf numFmtId="0" fontId="0" fillId="3" borderId="0" xfId="0" applyFill="1" applyBorder="1" applyProtection="1"/>
    <xf numFmtId="0" fontId="7" fillId="5" borderId="0" xfId="0" applyFont="1" applyFill="1" applyBorder="1" applyProtection="1"/>
    <xf numFmtId="0" fontId="0" fillId="5" borderId="0" xfId="0" applyFill="1" applyBorder="1" applyProtection="1"/>
    <xf numFmtId="0" fontId="6" fillId="3" borderId="0" xfId="3" applyFill="1" applyBorder="1" applyProtection="1"/>
    <xf numFmtId="0" fontId="6" fillId="5" borderId="0" xfId="3" applyFill="1" applyBorder="1" applyProtection="1"/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/>
    <xf numFmtId="44" fontId="10" fillId="4" borderId="1" xfId="1" applyFont="1" applyFill="1" applyBorder="1"/>
    <xf numFmtId="44" fontId="10" fillId="0" borderId="1" xfId="1" applyFont="1" applyBorder="1"/>
    <xf numFmtId="44" fontId="10" fillId="0" borderId="1" xfId="1" applyFont="1" applyFill="1" applyBorder="1"/>
    <xf numFmtId="9" fontId="10" fillId="0" borderId="1" xfId="2" applyFont="1" applyBorder="1"/>
    <xf numFmtId="44" fontId="9" fillId="2" borderId="1" xfId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 2021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-4.3078057537058574E-2"/>
                  <c:y val="9.089238845144356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4.4502938155204015E-2"/>
                  <c:y val="-0.124640778158382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('RESUMO DE FATURAMENTO'!$B$2,'RESUMO DE FATURAMENTO'!$C$2)</c:f>
              <c:strCache>
                <c:ptCount val="2"/>
                <c:pt idx="0">
                  <c:v>VENDAS A VISTA</c:v>
                </c:pt>
                <c:pt idx="1">
                  <c:v>VENDAS NO CARTÃO</c:v>
                </c:pt>
              </c:strCache>
            </c:strRef>
          </c:cat>
          <c:val>
            <c:numRef>
              <c:f>('RESUMO DE FATURAMENTO'!$B$15,'RESUMO DE FATURAMENTO'!$C$15)</c:f>
              <c:numCache>
                <c:formatCode>_("R$"* #,##0.00_);_("R$"* \(#,##0.00\);_("R$"* "-"??_);_(@_)</c:formatCode>
                <c:ptCount val="2"/>
                <c:pt idx="0">
                  <c:v>22106</c:v>
                </c:pt>
                <c:pt idx="1">
                  <c:v>56242</c:v>
                </c:pt>
              </c:numCache>
            </c:numRef>
          </c:val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('RESUMO DE FATURAMENTO'!$B$2,'RESUMO DE FATURAMENTO'!$C$2)</c:f>
              <c:strCache>
                <c:ptCount val="2"/>
                <c:pt idx="0">
                  <c:v>VENDAS A VISTA</c:v>
                </c:pt>
                <c:pt idx="1">
                  <c:v>VENDAS NO CARTÃO</c:v>
                </c:pt>
              </c:strCache>
            </c:strRef>
          </c:cat>
          <c:val>
            <c:numRef>
              <c:f>('RESUMO DE FATURAMENTO'!$B$16,'RESUMO DE FATURAMENTO'!$C$16)</c:f>
              <c:numCache>
                <c:formatCode>0%</c:formatCode>
                <c:ptCount val="2"/>
                <c:pt idx="0">
                  <c:v>0.28215142696686579</c:v>
                </c:pt>
                <c:pt idx="1">
                  <c:v>0.71784857303313421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24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409574</xdr:colOff>
      <xdr:row>0</xdr:row>
      <xdr:rowOff>0</xdr:rowOff>
    </xdr:from>
    <xdr:to>
      <xdr:col>16</xdr:col>
      <xdr:colOff>180975</xdr:colOff>
      <xdr:row>9</xdr:row>
      <xdr:rowOff>200025</xdr:rowOff>
    </xdr:to>
    <xdr:pic>
      <xdr:nvPicPr>
        <xdr:cNvPr id="9" name="Imagem 8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95" t="3077" r="265" b="18010"/>
        <a:stretch/>
      </xdr:blipFill>
      <xdr:spPr>
        <a:xfrm>
          <a:off x="9324974" y="0"/>
          <a:ext cx="2571751" cy="2657475"/>
        </a:xfrm>
        <a:prstGeom prst="rect">
          <a:avLst/>
        </a:prstGeom>
      </xdr:spPr>
    </xdr:pic>
    <xdr:clientData/>
  </xdr:twoCellAnchor>
  <xdr:twoCellAnchor>
    <xdr:from>
      <xdr:col>4</xdr:col>
      <xdr:colOff>200024</xdr:colOff>
      <xdr:row>0</xdr:row>
      <xdr:rowOff>0</xdr:rowOff>
    </xdr:from>
    <xdr:to>
      <xdr:col>11</xdr:col>
      <xdr:colOff>66675</xdr:colOff>
      <xdr:row>9</xdr:row>
      <xdr:rowOff>123824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usecatnine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watch?v=6_ZzHzCxB8I&amp;t=777s" TargetMode="External"/><Relationship Id="rId7" Type="http://schemas.openxmlformats.org/officeDocument/2006/relationships/hyperlink" Target="https://www.youtube.com/c/NayaraSousac9" TargetMode="External"/><Relationship Id="rId12" Type="http://schemas.openxmlformats.org/officeDocument/2006/relationships/hyperlink" Target="https://www.youtube.com/watch?v=3RhfghZCXJI" TargetMode="External"/><Relationship Id="rId2" Type="http://schemas.openxmlformats.org/officeDocument/2006/relationships/hyperlink" Target="https://www.youtube.com/watch?v=6jwkpdghwTY&amp;t=1s" TargetMode="External"/><Relationship Id="rId1" Type="http://schemas.openxmlformats.org/officeDocument/2006/relationships/hyperlink" Target="https://www.youtube.com/watch?v=tm33wqUjok0&amp;t=214s" TargetMode="External"/><Relationship Id="rId6" Type="http://schemas.openxmlformats.org/officeDocument/2006/relationships/hyperlink" Target="https://www.instagram.com/nayarasobar/" TargetMode="External"/><Relationship Id="rId11" Type="http://schemas.openxmlformats.org/officeDocument/2006/relationships/hyperlink" Target="https://www.youtube.com/watch?v=QRMEpfaZRCQ&amp;t=3s" TargetMode="External"/><Relationship Id="rId5" Type="http://schemas.openxmlformats.org/officeDocument/2006/relationships/hyperlink" Target="https://www.youtube.com/watch?v=CbmD4R7wDR8" TargetMode="External"/><Relationship Id="rId10" Type="http://schemas.openxmlformats.org/officeDocument/2006/relationships/hyperlink" Target="https://www.tiktok.com/@nayarasobar?_d=secCgYIASAHKAESMgowP2jOkzONCZIUToZLTgbaQvarsrUC92gDl1AYow7KJjjUr7t2aaCA4hxbmq0bD7ArGgA%3D&amp;language=pt&amp;sec_uid=MS4wLjABAAAAHXkJBCo0KgxPHW1L8hwSziueZq-M29kdVM66mMkRudMedHFdMoJ2Fd4SCFhg_1qI&amp;sec_user_id=MS4wLjABAAAAHXkJB" TargetMode="External"/><Relationship Id="rId4" Type="http://schemas.openxmlformats.org/officeDocument/2006/relationships/hyperlink" Target="https://www.youtube.com/watch?v=MgS0CcbRF64&amp;t=283s" TargetMode="External"/><Relationship Id="rId9" Type="http://schemas.openxmlformats.org/officeDocument/2006/relationships/hyperlink" Target="https://www.youtube.com/watch?v=9Iw8WjNgIWA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abSelected="1" zoomScaleNormal="100" workbookViewId="0">
      <selection activeCell="L6" sqref="L6"/>
    </sheetView>
  </sheetViews>
  <sheetFormatPr defaultRowHeight="15" x14ac:dyDescent="0.25"/>
  <cols>
    <col min="1" max="1" width="18.85546875" customWidth="1"/>
    <col min="2" max="2" width="21.28515625" customWidth="1"/>
    <col min="3" max="3" width="26" customWidth="1"/>
    <col min="4" max="4" width="20.85546875" customWidth="1"/>
    <col min="5" max="5" width="2" style="2" customWidth="1"/>
    <col min="6" max="6" width="9.140625" style="1" customWidth="1"/>
    <col min="7" max="7" width="9.140625" style="1"/>
    <col min="8" max="8" width="7.5703125" style="1" customWidth="1"/>
    <col min="9" max="9" width="3.5703125" style="1" customWidth="1"/>
    <col min="10" max="10" width="9.140625" style="1"/>
    <col min="11" max="11" width="6.140625" style="1" customWidth="1"/>
    <col min="12" max="12" width="9.140625" style="1"/>
    <col min="13" max="13" width="5.42578125" style="1" customWidth="1"/>
    <col min="14" max="17" width="9.140625" style="1"/>
  </cols>
  <sheetData>
    <row r="1" spans="1:19" ht="37.5" customHeight="1" x14ac:dyDescent="0.25">
      <c r="A1" s="22" t="s">
        <v>18</v>
      </c>
      <c r="B1" s="22"/>
      <c r="C1" s="22"/>
      <c r="D1" s="22"/>
      <c r="E1" s="5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6"/>
      <c r="S1" s="4"/>
    </row>
    <row r="2" spans="1:19" ht="19.5" x14ac:dyDescent="0.25">
      <c r="A2" s="14" t="s">
        <v>14</v>
      </c>
      <c r="B2" s="15" t="s">
        <v>12</v>
      </c>
      <c r="C2" s="15" t="s">
        <v>13</v>
      </c>
      <c r="D2" s="15" t="s">
        <v>17</v>
      </c>
      <c r="E2" s="7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6"/>
      <c r="S2" s="4"/>
    </row>
    <row r="3" spans="1:19" ht="19.5" x14ac:dyDescent="0.3">
      <c r="A3" s="16" t="s">
        <v>0</v>
      </c>
      <c r="B3" s="17">
        <v>890</v>
      </c>
      <c r="C3" s="17">
        <v>2890</v>
      </c>
      <c r="D3" s="18">
        <f>SUM(B3:C3)</f>
        <v>3780</v>
      </c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6"/>
      <c r="S3" s="4"/>
    </row>
    <row r="4" spans="1:19" ht="19.5" x14ac:dyDescent="0.3">
      <c r="A4" s="16" t="s">
        <v>1</v>
      </c>
      <c r="B4" s="17">
        <v>1280</v>
      </c>
      <c r="C4" s="17">
        <v>3489</v>
      </c>
      <c r="D4" s="18">
        <f t="shared" ref="D4:D14" si="0">SUM(B4:C4)</f>
        <v>4769</v>
      </c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6"/>
      <c r="S4" s="4"/>
    </row>
    <row r="5" spans="1:19" ht="19.5" x14ac:dyDescent="0.3">
      <c r="A5" s="16" t="s">
        <v>2</v>
      </c>
      <c r="B5" s="17">
        <v>1758</v>
      </c>
      <c r="C5" s="17">
        <v>3158</v>
      </c>
      <c r="D5" s="18">
        <f t="shared" si="0"/>
        <v>4916</v>
      </c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6"/>
      <c r="S5" s="4"/>
    </row>
    <row r="6" spans="1:19" ht="19.5" x14ac:dyDescent="0.3">
      <c r="A6" s="16" t="s">
        <v>3</v>
      </c>
      <c r="B6" s="17">
        <v>1353</v>
      </c>
      <c r="C6" s="17">
        <v>4389</v>
      </c>
      <c r="D6" s="18">
        <f t="shared" si="0"/>
        <v>5742</v>
      </c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6"/>
      <c r="S6" s="4"/>
    </row>
    <row r="7" spans="1:19" ht="19.5" x14ac:dyDescent="0.3">
      <c r="A7" s="16" t="s">
        <v>4</v>
      </c>
      <c r="B7" s="17">
        <v>1590</v>
      </c>
      <c r="C7" s="17">
        <v>5123</v>
      </c>
      <c r="D7" s="18">
        <f t="shared" si="0"/>
        <v>6713</v>
      </c>
      <c r="E7" s="8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6"/>
      <c r="S7" s="4"/>
    </row>
    <row r="8" spans="1:19" ht="19.5" x14ac:dyDescent="0.3">
      <c r="A8" s="16" t="s">
        <v>5</v>
      </c>
      <c r="B8" s="17">
        <v>2591</v>
      </c>
      <c r="C8" s="17">
        <v>4015</v>
      </c>
      <c r="D8" s="18">
        <f t="shared" si="0"/>
        <v>6606</v>
      </c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6"/>
      <c r="S8" s="4"/>
    </row>
    <row r="9" spans="1:19" ht="19.5" x14ac:dyDescent="0.3">
      <c r="A9" s="16" t="s">
        <v>6</v>
      </c>
      <c r="B9" s="17">
        <v>2361</v>
      </c>
      <c r="C9" s="17">
        <v>3872</v>
      </c>
      <c r="D9" s="18">
        <f t="shared" si="0"/>
        <v>6233</v>
      </c>
      <c r="E9" s="8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6"/>
      <c r="S9" s="4"/>
    </row>
    <row r="10" spans="1:19" ht="19.5" x14ac:dyDescent="0.3">
      <c r="A10" s="16" t="s">
        <v>7</v>
      </c>
      <c r="B10" s="17">
        <v>1269</v>
      </c>
      <c r="C10" s="17">
        <v>3587</v>
      </c>
      <c r="D10" s="18">
        <f t="shared" si="0"/>
        <v>4856</v>
      </c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6"/>
      <c r="S10" s="4"/>
    </row>
    <row r="11" spans="1:19" ht="19.5" x14ac:dyDescent="0.3">
      <c r="A11" s="16" t="s">
        <v>8</v>
      </c>
      <c r="B11" s="17">
        <v>1395</v>
      </c>
      <c r="C11" s="17">
        <v>4358</v>
      </c>
      <c r="D11" s="18">
        <f t="shared" si="0"/>
        <v>5753</v>
      </c>
      <c r="E11" s="8"/>
      <c r="F11" s="10" t="s">
        <v>21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6"/>
      <c r="S11" s="4"/>
    </row>
    <row r="12" spans="1:19" ht="19.5" x14ac:dyDescent="0.3">
      <c r="A12" s="16" t="s">
        <v>9</v>
      </c>
      <c r="B12" s="17">
        <v>2458</v>
      </c>
      <c r="C12" s="17">
        <v>4367</v>
      </c>
      <c r="D12" s="18">
        <f t="shared" si="0"/>
        <v>6825</v>
      </c>
      <c r="E12" s="8"/>
      <c r="F12" s="12" t="s">
        <v>22</v>
      </c>
      <c r="G12" s="9"/>
      <c r="H12" s="9"/>
      <c r="I12" s="9"/>
      <c r="J12" s="12" t="s">
        <v>25</v>
      </c>
      <c r="K12" s="9"/>
      <c r="L12" s="9"/>
      <c r="M12" s="12" t="s">
        <v>28</v>
      </c>
      <c r="N12" s="12"/>
      <c r="O12" s="9"/>
      <c r="P12" s="9"/>
      <c r="Q12" s="9"/>
      <c r="R12" s="6"/>
      <c r="S12" s="4"/>
    </row>
    <row r="13" spans="1:19" ht="19.5" x14ac:dyDescent="0.3">
      <c r="A13" s="16" t="s">
        <v>10</v>
      </c>
      <c r="B13" s="17">
        <v>2138</v>
      </c>
      <c r="C13" s="17">
        <v>7842</v>
      </c>
      <c r="D13" s="18">
        <f t="shared" si="0"/>
        <v>9980</v>
      </c>
      <c r="E13" s="8"/>
      <c r="F13" s="12" t="s">
        <v>23</v>
      </c>
      <c r="G13" s="9"/>
      <c r="H13" s="9"/>
      <c r="I13" s="9"/>
      <c r="J13" s="12" t="s">
        <v>26</v>
      </c>
      <c r="K13" s="9"/>
      <c r="L13" s="9"/>
      <c r="M13" s="12" t="s">
        <v>27</v>
      </c>
      <c r="N13" s="12"/>
      <c r="O13" s="9"/>
      <c r="P13" s="9"/>
      <c r="Q13" s="9"/>
      <c r="R13" s="6"/>
      <c r="S13" s="4"/>
    </row>
    <row r="14" spans="1:19" ht="19.5" x14ac:dyDescent="0.3">
      <c r="A14" s="16" t="s">
        <v>11</v>
      </c>
      <c r="B14" s="17">
        <v>3023</v>
      </c>
      <c r="C14" s="17">
        <v>9152</v>
      </c>
      <c r="D14" s="18">
        <f t="shared" si="0"/>
        <v>12175</v>
      </c>
      <c r="E14" s="8"/>
      <c r="F14" s="12" t="s">
        <v>24</v>
      </c>
      <c r="G14" s="9"/>
      <c r="H14" s="9"/>
      <c r="I14" s="9"/>
      <c r="J14" s="12" t="s">
        <v>29</v>
      </c>
      <c r="K14" s="9"/>
      <c r="L14" s="9"/>
      <c r="M14" s="9"/>
      <c r="N14" s="12"/>
      <c r="O14" s="12"/>
      <c r="P14" s="9"/>
      <c r="Q14" s="9"/>
      <c r="R14" s="6"/>
      <c r="S14" s="4"/>
    </row>
    <row r="15" spans="1:19" ht="19.5" x14ac:dyDescent="0.3">
      <c r="A15" s="16" t="s">
        <v>15</v>
      </c>
      <c r="B15" s="19">
        <f>SUM(B3:B14)</f>
        <v>22106</v>
      </c>
      <c r="C15" s="19">
        <f>SUM(C3:C14)</f>
        <v>56242</v>
      </c>
      <c r="D15" s="18">
        <f>B15+C15</f>
        <v>78348</v>
      </c>
      <c r="E15" s="8"/>
      <c r="F15" s="11" t="s">
        <v>31</v>
      </c>
      <c r="G15" s="11"/>
      <c r="H15" s="11"/>
      <c r="I15" s="11"/>
      <c r="J15" s="13"/>
      <c r="K15" s="11"/>
      <c r="L15" s="11"/>
      <c r="M15" s="11"/>
      <c r="N15" s="11"/>
      <c r="O15" s="11"/>
      <c r="P15" s="11"/>
      <c r="Q15" s="11"/>
      <c r="R15" s="6"/>
      <c r="S15" s="4"/>
    </row>
    <row r="16" spans="1:19" ht="19.5" x14ac:dyDescent="0.3">
      <c r="A16" s="16" t="s">
        <v>19</v>
      </c>
      <c r="B16" s="20">
        <f>B15/D15</f>
        <v>0.28215142696686579</v>
      </c>
      <c r="C16" s="20">
        <f>C15/D15</f>
        <v>0.71784857303313421</v>
      </c>
      <c r="D16" s="18"/>
      <c r="E16" s="8"/>
      <c r="F16" s="12" t="s">
        <v>30</v>
      </c>
      <c r="G16" s="9"/>
      <c r="H16" s="12" t="s">
        <v>20</v>
      </c>
      <c r="I16" s="9"/>
      <c r="J16" s="12" t="s">
        <v>32</v>
      </c>
      <c r="K16" s="12" t="s">
        <v>33</v>
      </c>
      <c r="L16" s="9"/>
      <c r="M16" s="9"/>
      <c r="N16" s="9"/>
      <c r="O16" s="9"/>
      <c r="P16" s="9"/>
      <c r="Q16" s="9"/>
      <c r="R16" s="6"/>
      <c r="S16" s="4"/>
    </row>
    <row r="17" spans="1:19" ht="19.5" x14ac:dyDescent="0.3">
      <c r="A17" s="16" t="s">
        <v>16</v>
      </c>
      <c r="B17" s="21">
        <f>SUM(D3:D14)</f>
        <v>78348</v>
      </c>
      <c r="C17" s="21"/>
      <c r="D17" s="21"/>
      <c r="E17" s="3"/>
      <c r="F17" s="12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4"/>
      <c r="S17" s="4"/>
    </row>
    <row r="18" spans="1:19" x14ac:dyDescent="0.25">
      <c r="R18" s="4"/>
      <c r="S18" s="4"/>
    </row>
    <row r="19" spans="1:19" x14ac:dyDescent="0.25">
      <c r="R19" s="4"/>
      <c r="S19" s="4"/>
    </row>
    <row r="20" spans="1:19" x14ac:dyDescent="0.25">
      <c r="R20" s="4"/>
      <c r="S20" s="4"/>
    </row>
    <row r="21" spans="1:19" x14ac:dyDescent="0.25">
      <c r="R21" s="4"/>
      <c r="S21" s="4"/>
    </row>
    <row r="22" spans="1:19" x14ac:dyDescent="0.25">
      <c r="R22" s="4"/>
      <c r="S22" s="4"/>
    </row>
    <row r="23" spans="1:19" x14ac:dyDescent="0.25">
      <c r="R23" s="4"/>
      <c r="S23" s="4"/>
    </row>
    <row r="24" spans="1:19" x14ac:dyDescent="0.25">
      <c r="R24" s="4"/>
      <c r="S24" s="4"/>
    </row>
    <row r="25" spans="1:19" x14ac:dyDescent="0.25">
      <c r="R25" s="4"/>
      <c r="S25" s="4"/>
    </row>
    <row r="26" spans="1:19" x14ac:dyDescent="0.25">
      <c r="R26" s="4"/>
      <c r="S26" s="4"/>
    </row>
    <row r="27" spans="1:19" x14ac:dyDescent="0.25">
      <c r="R27" s="4"/>
      <c r="S27" s="4"/>
    </row>
    <row r="28" spans="1:19" x14ac:dyDescent="0.25">
      <c r="R28" s="4"/>
      <c r="S28" s="4"/>
    </row>
    <row r="29" spans="1:19" x14ac:dyDescent="0.25">
      <c r="R29" s="4"/>
      <c r="S29" s="4"/>
    </row>
    <row r="30" spans="1:19" x14ac:dyDescent="0.25">
      <c r="R30" s="4"/>
      <c r="S30" s="4"/>
    </row>
    <row r="31" spans="1:19" x14ac:dyDescent="0.25">
      <c r="R31" s="4"/>
      <c r="S31" s="4"/>
    </row>
    <row r="32" spans="1:19" x14ac:dyDescent="0.25">
      <c r="R32" s="4"/>
      <c r="S32" s="4"/>
    </row>
    <row r="33" spans="18:19" x14ac:dyDescent="0.25">
      <c r="R33" s="4"/>
      <c r="S33" s="4"/>
    </row>
    <row r="34" spans="18:19" x14ac:dyDescent="0.25">
      <c r="R34" s="4"/>
      <c r="S34" s="4"/>
    </row>
    <row r="35" spans="18:19" x14ac:dyDescent="0.25">
      <c r="R35" s="4"/>
      <c r="S35" s="4"/>
    </row>
    <row r="36" spans="18:19" x14ac:dyDescent="0.25">
      <c r="R36" s="4"/>
      <c r="S36" s="4"/>
    </row>
    <row r="37" spans="18:19" x14ac:dyDescent="0.25">
      <c r="R37" s="4"/>
      <c r="S37" s="4"/>
    </row>
    <row r="38" spans="18:19" x14ac:dyDescent="0.25">
      <c r="R38" s="4"/>
      <c r="S38" s="4"/>
    </row>
    <row r="39" spans="18:19" x14ac:dyDescent="0.25">
      <c r="R39" s="4"/>
      <c r="S39" s="4"/>
    </row>
    <row r="40" spans="18:19" x14ac:dyDescent="0.25">
      <c r="R40" s="4"/>
      <c r="S40" s="4"/>
    </row>
    <row r="41" spans="18:19" x14ac:dyDescent="0.25">
      <c r="R41" s="4"/>
      <c r="S41" s="4"/>
    </row>
    <row r="42" spans="18:19" x14ac:dyDescent="0.25">
      <c r="R42" s="4"/>
      <c r="S42" s="4"/>
    </row>
    <row r="43" spans="18:19" x14ac:dyDescent="0.25">
      <c r="R43" s="4"/>
      <c r="S43" s="4"/>
    </row>
    <row r="44" spans="18:19" x14ac:dyDescent="0.25">
      <c r="R44" s="4"/>
      <c r="S44" s="4"/>
    </row>
    <row r="45" spans="18:19" x14ac:dyDescent="0.25">
      <c r="R45" s="4"/>
      <c r="S45" s="4"/>
    </row>
    <row r="46" spans="18:19" x14ac:dyDescent="0.25">
      <c r="R46" s="4"/>
      <c r="S46" s="4"/>
    </row>
    <row r="47" spans="18:19" x14ac:dyDescent="0.25">
      <c r="R47" s="4"/>
      <c r="S47" s="4"/>
    </row>
    <row r="48" spans="18:19" x14ac:dyDescent="0.25">
      <c r="R48" s="4"/>
      <c r="S48" s="4"/>
    </row>
    <row r="49" spans="18:19" x14ac:dyDescent="0.25">
      <c r="R49" s="4"/>
      <c r="S49" s="4"/>
    </row>
    <row r="50" spans="18:19" x14ac:dyDescent="0.25">
      <c r="R50" s="4"/>
      <c r="S50" s="4"/>
    </row>
  </sheetData>
  <sheetProtection formatCells="0" formatColumns="0" formatRows="0" insertColumns="0" insertRows="0" insertHyperlinks="0" deleteColumns="0" deleteRows="0" sort="0" autoFilter="0" pivotTables="0"/>
  <mergeCells count="2">
    <mergeCell ref="B17:D17"/>
    <mergeCell ref="A1:D1"/>
  </mergeCells>
  <hyperlinks>
    <hyperlink ref="F13" r:id="rId1"/>
    <hyperlink ref="F14" r:id="rId2"/>
    <hyperlink ref="J12" r:id="rId3"/>
    <hyperlink ref="M12" r:id="rId4"/>
    <hyperlink ref="J14" r:id="rId5"/>
    <hyperlink ref="H16" r:id="rId6"/>
    <hyperlink ref="F16" r:id="rId7"/>
    <hyperlink ref="J16" r:id="rId8"/>
    <hyperlink ref="M13" r:id="rId9"/>
    <hyperlink ref="K16" r:id="rId10"/>
    <hyperlink ref="J13" r:id="rId11"/>
    <hyperlink ref="F12" r:id="rId12"/>
  </hyperlinks>
  <pageMargins left="0.511811024" right="0.511811024" top="0.78740157499999996" bottom="0.78740157499999996" header="0.31496062000000002" footer="0.31496062000000002"/>
  <pageSetup paperSize="9" scale="81" orientation="portrait" horizontalDpi="0" verticalDpi="0" r:id="rId13"/>
  <colBreaks count="1" manualBreakCount="1">
    <brk id="5" max="49" man="1"/>
  </colBreaks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 DE FATURAMENTO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2021-03-08T20:55:46Z</dcterms:created>
  <dcterms:modified xsi:type="dcterms:W3CDTF">2021-03-22T17:40:36Z</dcterms:modified>
</cp:coreProperties>
</file>