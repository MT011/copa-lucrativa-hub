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bookViews>
    <workbookView xWindow="0" yWindow="0" windowWidth="16815" windowHeight="7755"/>
  </bookViews>
  <sheets>
    <sheet name="PREÇO CERTO" sheetId="1" r:id="rId1"/>
    <sheet name="FRETE" sheetId="2" r:id="rId2"/>
    <sheet name="PREÇO SIMPLES" sheetId="4" r:id="rId3"/>
  </sheets>
  <definedNames>
    <definedName name="_xlnm.Print_Area" localSheetId="0">'PREÇO CERTO'!$A$1:$AE$23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13" i="2" s="1"/>
  <c r="F10" i="4"/>
  <c r="U20" i="1"/>
  <c r="U21" i="1" s="1"/>
  <c r="B4" i="2"/>
  <c r="F12" i="4" l="1"/>
  <c r="B15" i="1"/>
  <c r="B8" i="1" s="1"/>
  <c r="B9" i="1" s="1"/>
  <c r="U7" i="1" s="1"/>
  <c r="U9" i="1" s="1"/>
  <c r="U10" i="1" s="1"/>
  <c r="M9" i="1"/>
  <c r="F13" i="4" l="1"/>
  <c r="F14" i="4" s="1"/>
  <c r="M7" i="1"/>
  <c r="M15" i="1" s="1"/>
  <c r="U15" i="1"/>
  <c r="U16" i="1" s="1"/>
  <c r="U17" i="1" s="1"/>
  <c r="M10" i="1" l="1"/>
  <c r="M20" i="1" s="1"/>
  <c r="M21" i="1" s="1"/>
  <c r="M11" i="1"/>
  <c r="M14" i="1" s="1"/>
  <c r="M16" i="1" l="1"/>
  <c r="M17" i="1"/>
</calcChain>
</file>

<file path=xl/sharedStrings.xml><?xml version="1.0" encoding="utf-8"?>
<sst xmlns="http://schemas.openxmlformats.org/spreadsheetml/2006/main" count="75" uniqueCount="53">
  <si>
    <t>MARKUP</t>
  </si>
  <si>
    <t>MARGEM</t>
  </si>
  <si>
    <t>CUSTOS EXTRAS DA PEÇA</t>
  </si>
  <si>
    <t>Preço de compra</t>
  </si>
  <si>
    <t>Custos Extras</t>
  </si>
  <si>
    <t>SIMULADOR - PREÇO CERTO</t>
  </si>
  <si>
    <t xml:space="preserve">PRODUTO </t>
  </si>
  <si>
    <t>Preço de Custo Total</t>
  </si>
  <si>
    <t>Preço de venda</t>
  </si>
  <si>
    <t>Ganho Estimado</t>
  </si>
  <si>
    <t>Markup</t>
  </si>
  <si>
    <t>Preço para venda</t>
  </si>
  <si>
    <t>Frete</t>
  </si>
  <si>
    <t>Tag</t>
  </si>
  <si>
    <t>Sacolas</t>
  </si>
  <si>
    <t>Total de Custos Extras</t>
  </si>
  <si>
    <t>Lucro Bruto</t>
  </si>
  <si>
    <t>Custos</t>
  </si>
  <si>
    <t>%Real de Lucro Bruto</t>
  </si>
  <si>
    <t>Preço ideal sugerido</t>
  </si>
  <si>
    <t>Taxas de cartão</t>
  </si>
  <si>
    <t>Preço com arredondamento</t>
  </si>
  <si>
    <t>Margem</t>
  </si>
  <si>
    <t>Preço com Tx de cartão</t>
  </si>
  <si>
    <t>Valor pago no frete</t>
  </si>
  <si>
    <t>Quantidade de peças</t>
  </si>
  <si>
    <t>Passagem</t>
  </si>
  <si>
    <t>Hospedagem</t>
  </si>
  <si>
    <t>Uber</t>
  </si>
  <si>
    <t>Alimentação</t>
  </si>
  <si>
    <t>Sacos/Malha</t>
  </si>
  <si>
    <t>Carrinho</t>
  </si>
  <si>
    <t>Malas despachadas</t>
  </si>
  <si>
    <t>Quanto paguei</t>
  </si>
  <si>
    <t>Por quanto vendi</t>
  </si>
  <si>
    <t>Quanto lucrei</t>
  </si>
  <si>
    <t>Frete por peça</t>
  </si>
  <si>
    <t>Total de custos</t>
  </si>
  <si>
    <t>Valor por peça</t>
  </si>
  <si>
    <t>CUSTOS VIAGEM</t>
  </si>
  <si>
    <t>Custos frete</t>
  </si>
  <si>
    <t>Nayara</t>
  </si>
  <si>
    <t>Catnine</t>
  </si>
  <si>
    <t>Canal</t>
  </si>
  <si>
    <t>Videos sobre Preço</t>
  </si>
  <si>
    <t>Por quanto comprei</t>
  </si>
  <si>
    <t>Quanto paguei de frete</t>
  </si>
  <si>
    <t>Tag e sacola</t>
  </si>
  <si>
    <t>Margem de Lucro</t>
  </si>
  <si>
    <t>de lucro</t>
  </si>
  <si>
    <t>Você sabe os custos da sua loja?</t>
  </si>
  <si>
    <t>Serie Loja de Bairro - Preço</t>
  </si>
  <si>
    <t>Como precificar as roupas?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</si>
</sst>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0_ ;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1">
    <xf numFmtId="0" fontId="0" fillId="0" borderId="0" xfId="0"/>
    <xf numFmtId="44" fontId="0" fillId="0" borderId="0" xfId="1" applyFont="1"/>
    <xf numFmtId="9" fontId="0" fillId="0" borderId="0" xfId="0" applyNumberFormat="1"/>
    <xf numFmtId="44" fontId="0" fillId="0" borderId="0" xfId="1" applyFont="1" applyFill="1" applyAlignment="1">
      <alignment horizontal="center"/>
    </xf>
    <xf numFmtId="0" fontId="0" fillId="2" borderId="0" xfId="0" applyFill="1"/>
    <xf numFmtId="0" fontId="2" fillId="0" borderId="0" xfId="0" applyFont="1" applyFill="1" applyAlignment="1"/>
    <xf numFmtId="0" fontId="0" fillId="0" borderId="0" xfId="0" applyFill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center" vertical="center"/>
    </xf>
    <xf numFmtId="0" fontId="0" fillId="0" borderId="0" xfId="0" applyAlignment="1"/>
    <xf numFmtId="10" fontId="0" fillId="0" borderId="0" xfId="0" applyNumberFormat="1"/>
    <xf numFmtId="44" fontId="0" fillId="0" borderId="0" xfId="1" applyFont="1" applyAlignment="1"/>
    <xf numFmtId="0" fontId="0" fillId="6" borderId="0" xfId="0" applyFill="1"/>
    <xf numFmtId="9" fontId="0" fillId="0" borderId="0" xfId="2" applyFont="1" applyAlignment="1"/>
    <xf numFmtId="44" fontId="0" fillId="0" borderId="0" xfId="2" applyNumberFormat="1" applyFont="1" applyAlignment="1">
      <alignment horizontal="center"/>
    </xf>
    <xf numFmtId="0" fontId="0" fillId="9" borderId="0" xfId="0" applyFill="1"/>
    <xf numFmtId="10" fontId="0" fillId="10" borderId="0" xfId="0" applyNumberFormat="1" applyFill="1"/>
    <xf numFmtId="0" fontId="0" fillId="7" borderId="0" xfId="0" applyFill="1"/>
    <xf numFmtId="0" fontId="4" fillId="7" borderId="0" xfId="3" applyFill="1"/>
    <xf numFmtId="0" fontId="4" fillId="11" borderId="0" xfId="3" applyFill="1" applyBorder="1"/>
    <xf numFmtId="0" fontId="0" fillId="11" borderId="0" xfId="0" applyFill="1" applyBorder="1"/>
    <xf numFmtId="0" fontId="6" fillId="11" borderId="0" xfId="3" applyFont="1" applyFill="1" applyBorder="1"/>
    <xf numFmtId="0" fontId="5" fillId="11" borderId="0" xfId="0" applyFont="1" applyFill="1" applyBorder="1"/>
    <xf numFmtId="0" fontId="0" fillId="0" borderId="0" xfId="0" applyBorder="1"/>
    <xf numFmtId="9" fontId="5" fillId="11" borderId="0" xfId="0" applyNumberFormat="1" applyFont="1" applyFill="1" applyBorder="1"/>
    <xf numFmtId="44" fontId="0" fillId="10" borderId="0" xfId="1" applyFont="1" applyFill="1"/>
    <xf numFmtId="164" fontId="0" fillId="10" borderId="0" xfId="1" applyNumberFormat="1" applyFont="1" applyFill="1" applyAlignment="1">
      <alignment horizontal="center"/>
    </xf>
    <xf numFmtId="0" fontId="0" fillId="12" borderId="0" xfId="0" applyFill="1"/>
    <xf numFmtId="0" fontId="3" fillId="9" borderId="0" xfId="0" applyFont="1" applyFill="1"/>
    <xf numFmtId="44" fontId="0" fillId="9" borderId="0" xfId="1" applyFont="1" applyFill="1"/>
    <xf numFmtId="44" fontId="3" fillId="9" borderId="0" xfId="1" applyFont="1" applyFill="1"/>
    <xf numFmtId="0" fontId="3" fillId="6" borderId="0" xfId="0" applyFont="1" applyFill="1" applyAlignment="1"/>
    <xf numFmtId="9" fontId="0" fillId="0" borderId="0" xfId="0" applyNumberFormat="1" applyBorder="1"/>
    <xf numFmtId="0" fontId="7" fillId="0" borderId="0" xfId="0" applyFont="1"/>
    <xf numFmtId="0" fontId="3" fillId="10" borderId="0" xfId="0" applyFont="1" applyFill="1"/>
    <xf numFmtId="44" fontId="3" fillId="10" borderId="0" xfId="2" applyNumberFormat="1" applyFont="1" applyFill="1" applyAlignment="1">
      <alignment horizontal="right"/>
    </xf>
    <xf numFmtId="44" fontId="0" fillId="0" borderId="0" xfId="0" applyNumberFormat="1"/>
    <xf numFmtId="10" fontId="0" fillId="0" borderId="0" xfId="2" applyNumberFormat="1" applyFont="1"/>
    <xf numFmtId="0" fontId="0" fillId="13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12" borderId="0" xfId="0" applyFill="1" applyBorder="1"/>
    <xf numFmtId="0" fontId="4" fillId="12" borderId="0" xfId="3" applyFill="1"/>
    <xf numFmtId="0" fontId="3" fillId="12" borderId="0" xfId="0" applyFont="1" applyFill="1" applyBorder="1"/>
    <xf numFmtId="0" fontId="7" fillId="7" borderId="0" xfId="0" applyFont="1" applyFill="1"/>
    <xf numFmtId="0" fontId="0" fillId="10" borderId="0" xfId="0" applyFill="1" applyAlignment="1">
      <alignment horizontal="center"/>
    </xf>
    <xf numFmtId="44" fontId="3" fillId="9" borderId="0" xfId="1" applyFont="1" applyFill="1" applyAlignment="1">
      <alignment horizontal="left" vertical="center"/>
    </xf>
    <xf numFmtId="0" fontId="2" fillId="9" borderId="0" xfId="0" applyFont="1" applyFill="1" applyAlignment="1"/>
    <xf numFmtId="9" fontId="0" fillId="9" borderId="0" xfId="0" applyNumberFormat="1" applyFill="1"/>
    <xf numFmtId="165" fontId="0" fillId="9" borderId="0" xfId="0" applyNumberFormat="1" applyFill="1"/>
    <xf numFmtId="0" fontId="0" fillId="0" borderId="0" xfId="0" applyAlignment="1">
      <alignment horizontal="left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wrapText="1"/>
    </xf>
    <xf numFmtId="44" fontId="3" fillId="10" borderId="0" xfId="1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0" fontId="3" fillId="5" borderId="0" xfId="0" applyFont="1" applyFill="1" applyAlignment="1">
      <alignment horizontal="center"/>
    </xf>
    <xf numFmtId="44" fontId="0" fillId="10" borderId="0" xfId="1" applyFont="1" applyFill="1" applyAlignment="1">
      <alignment horizontal="center"/>
    </xf>
    <xf numFmtId="4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2" applyFont="1" applyAlignment="1">
      <alignment horizontal="right"/>
    </xf>
    <xf numFmtId="9" fontId="0" fillId="2" borderId="0" xfId="2" applyFont="1" applyFill="1" applyAlignment="1">
      <alignment horizontal="righ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0" fillId="0" borderId="0" xfId="1" applyFont="1" applyFill="1" applyAlignment="1">
      <alignment horizontal="center"/>
    </xf>
    <xf numFmtId="9" fontId="0" fillId="0" borderId="0" xfId="0" applyNumberFormat="1" applyAlignment="1">
      <alignment horizontal="left"/>
    </xf>
    <xf numFmtId="0" fontId="2" fillId="8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9" fontId="0" fillId="10" borderId="0" xfId="0" applyNumberFormat="1" applyFill="1" applyAlignment="1">
      <alignment horizontal="right"/>
    </xf>
    <xf numFmtId="0" fontId="0" fillId="10" borderId="0" xfId="0" applyFill="1" applyAlignment="1">
      <alignment horizontal="right"/>
    </xf>
    <xf numFmtId="4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44" fontId="0" fillId="10" borderId="0" xfId="1" applyFont="1" applyFill="1" applyAlignment="1">
      <alignment horizontal="right"/>
    </xf>
    <xf numFmtId="0" fontId="3" fillId="5" borderId="0" xfId="0" applyFont="1" applyFill="1" applyAlignment="1">
      <alignment horizontal="center" wrapText="1"/>
    </xf>
    <xf numFmtId="44" fontId="0" fillId="0" borderId="0" xfId="2" applyNumberFormat="1" applyFont="1" applyAlignment="1">
      <alignment horizontal="right"/>
    </xf>
    <xf numFmtId="10" fontId="0" fillId="0" borderId="0" xfId="2" applyNumberFormat="1" applyFont="1" applyAlignment="1">
      <alignment horizontal="right"/>
    </xf>
    <xf numFmtId="44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137978</xdr:colOff>
      <xdr:row>6</xdr:row>
      <xdr:rowOff>9525</xdr:rowOff>
    </xdr:from>
    <xdr:to>
      <xdr:col>26</xdr:col>
      <xdr:colOff>9526</xdr:colOff>
      <xdr:row>7</xdr:row>
      <xdr:rowOff>76374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9053" y="971550"/>
          <a:ext cx="252548" cy="257349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9</xdr:row>
      <xdr:rowOff>179418</xdr:rowOff>
    </xdr:from>
    <xdr:to>
      <xdr:col>26</xdr:col>
      <xdr:colOff>19049</xdr:colOff>
      <xdr:row>11</xdr:row>
      <xdr:rowOff>48893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1712943"/>
          <a:ext cx="247649" cy="250475"/>
        </a:xfrm>
        <a:prstGeom prst="rect">
          <a:avLst/>
        </a:prstGeom>
      </xdr:spPr>
    </xdr:pic>
    <xdr:clientData/>
  </xdr:twoCellAnchor>
  <xdr:twoCellAnchor editAs="oneCell">
    <xdr:from>
      <xdr:col>25</xdr:col>
      <xdr:colOff>157028</xdr:colOff>
      <xdr:row>7</xdr:row>
      <xdr:rowOff>180975</xdr:rowOff>
    </xdr:from>
    <xdr:to>
      <xdr:col>26</xdr:col>
      <xdr:colOff>28576</xdr:colOff>
      <xdr:row>9</xdr:row>
      <xdr:rowOff>57324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8103" y="1333500"/>
          <a:ext cx="252548" cy="257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youtube.com/c/NayaraSousac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usecatnine/" TargetMode="External"/><Relationship Id="rId1" Type="http://schemas.openxmlformats.org/officeDocument/2006/relationships/hyperlink" Target="https://www.instagram.com/nayarasobar/" TargetMode="External"/><Relationship Id="rId6" Type="http://schemas.openxmlformats.org/officeDocument/2006/relationships/hyperlink" Target="https://www.youtube.com/watch?v=6_ZzHzCxB8I&amp;t=561s" TargetMode="External"/><Relationship Id="rId5" Type="http://schemas.openxmlformats.org/officeDocument/2006/relationships/hyperlink" Target="https://www.youtube.com/watch?v=kKyoeJhNv0g&amp;t=179s" TargetMode="External"/><Relationship Id="rId4" Type="http://schemas.openxmlformats.org/officeDocument/2006/relationships/hyperlink" Target="https://www.youtube.com/watch?v=tm33wqUjok0&amp;t=214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tabSelected="1" topLeftCell="B1" zoomScaleNormal="100" workbookViewId="0">
      <selection activeCell="AB22" sqref="AB22"/>
    </sheetView>
  </sheetViews>
  <sheetFormatPr defaultRowHeight="15" x14ac:dyDescent="0.25"/>
  <cols>
    <col min="1" max="2" width="4.28515625" customWidth="1"/>
    <col min="3" max="3" width="6.85546875" customWidth="1"/>
    <col min="4" max="4" width="5" customWidth="1"/>
    <col min="5" max="7" width="5.7109375" customWidth="1"/>
    <col min="8" max="9" width="1.42578125" customWidth="1"/>
    <col min="10" max="10" width="8" customWidth="1"/>
    <col min="11" max="12" width="7" customWidth="1"/>
    <col min="13" max="15" width="5.7109375" customWidth="1"/>
    <col min="16" max="16" width="1.7109375" customWidth="1"/>
    <col min="17" max="18" width="5.7109375" customWidth="1"/>
    <col min="19" max="19" width="4.28515625" customWidth="1"/>
    <col min="20" max="20" width="6.7109375" customWidth="1"/>
    <col min="21" max="22" width="5.7109375" customWidth="1"/>
    <col min="23" max="23" width="7.85546875" customWidth="1"/>
    <col min="24" max="25" width="4.28515625" customWidth="1"/>
    <col min="26" max="55" width="5.7109375" customWidth="1"/>
  </cols>
  <sheetData>
    <row r="1" spans="1:36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6"/>
      <c r="AA1" s="6"/>
      <c r="AB1" s="6"/>
      <c r="AC1" s="6"/>
      <c r="AD1" s="6"/>
      <c r="AE1" s="6"/>
      <c r="AF1" s="6"/>
    </row>
    <row r="2" spans="1:36" x14ac:dyDescent="0.25">
      <c r="A2" s="19"/>
      <c r="B2" s="19"/>
      <c r="C2" s="45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  <c r="V2" s="19"/>
      <c r="W2" s="19"/>
      <c r="X2" s="19"/>
      <c r="Y2" s="19"/>
      <c r="Z2" s="6"/>
      <c r="AA2" s="6"/>
      <c r="AB2" s="6"/>
      <c r="AC2" s="6"/>
      <c r="AD2" s="6"/>
      <c r="AE2" s="6"/>
      <c r="AF2" s="6"/>
    </row>
    <row r="3" spans="1:36" ht="6.75" customHeight="1" x14ac:dyDescent="0.25"/>
    <row r="4" spans="1:36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41"/>
      <c r="Z4" s="5"/>
      <c r="AA4" s="5"/>
      <c r="AB4" s="5"/>
      <c r="AC4" s="5"/>
      <c r="AD4" s="5"/>
      <c r="AE4" s="5"/>
      <c r="AF4" s="5"/>
    </row>
    <row r="5" spans="1:36" ht="9" customHeight="1" x14ac:dyDescent="0.25">
      <c r="Z5" s="25"/>
      <c r="AA5" s="25"/>
      <c r="AB5" s="25"/>
      <c r="AC5" s="25"/>
    </row>
    <row r="6" spans="1:36" x14ac:dyDescent="0.25">
      <c r="B6" s="70" t="s">
        <v>6</v>
      </c>
      <c r="C6" s="70"/>
      <c r="D6" s="70"/>
      <c r="E6" s="70"/>
      <c r="F6" s="70"/>
      <c r="G6" s="70"/>
      <c r="J6" s="4" t="s">
        <v>0</v>
      </c>
      <c r="K6" s="4"/>
      <c r="L6" s="4"/>
      <c r="M6" s="4"/>
      <c r="N6" s="4"/>
      <c r="O6" s="4"/>
      <c r="Q6" s="14" t="s">
        <v>1</v>
      </c>
      <c r="R6" s="14"/>
      <c r="S6" s="14"/>
      <c r="T6" s="14"/>
      <c r="U6" s="14"/>
      <c r="V6" s="14"/>
      <c r="W6" s="14"/>
      <c r="X6" s="25"/>
      <c r="Y6" s="22"/>
      <c r="Z6" s="24"/>
      <c r="AA6" s="24"/>
      <c r="AB6" s="24"/>
      <c r="AC6" s="24"/>
      <c r="AD6" s="25"/>
      <c r="AE6" s="25"/>
      <c r="AH6" s="53"/>
      <c r="AI6" s="53"/>
      <c r="AJ6" s="53"/>
    </row>
    <row r="7" spans="1:36" x14ac:dyDescent="0.25">
      <c r="B7" s="58"/>
      <c r="C7" s="58"/>
      <c r="D7" t="s">
        <v>3</v>
      </c>
      <c r="J7" s="11" t="s">
        <v>7</v>
      </c>
      <c r="K7" s="11"/>
      <c r="L7" s="8"/>
      <c r="M7" s="52">
        <f>B9</f>
        <v>0</v>
      </c>
      <c r="N7" s="53"/>
      <c r="O7" s="53"/>
      <c r="Q7" s="11" t="s">
        <v>7</v>
      </c>
      <c r="U7" s="73">
        <f>B9</f>
        <v>0</v>
      </c>
      <c r="V7" s="74"/>
      <c r="W7" s="74"/>
      <c r="X7" s="25"/>
      <c r="Y7" s="22"/>
      <c r="Z7" s="24"/>
      <c r="AA7" s="23" t="s">
        <v>41</v>
      </c>
      <c r="AB7" s="24"/>
      <c r="AC7" s="24"/>
      <c r="AD7" s="25"/>
      <c r="AE7" s="25"/>
      <c r="AI7" s="1"/>
    </row>
    <row r="8" spans="1:36" x14ac:dyDescent="0.25">
      <c r="B8" s="67">
        <f>B15</f>
        <v>0</v>
      </c>
      <c r="C8" s="67"/>
      <c r="D8" t="s">
        <v>4</v>
      </c>
      <c r="J8" s="11" t="s">
        <v>9</v>
      </c>
      <c r="K8" s="11"/>
      <c r="L8" s="8"/>
      <c r="M8" s="71"/>
      <c r="N8" s="72"/>
      <c r="O8" s="72"/>
      <c r="Q8" s="51" t="s">
        <v>8</v>
      </c>
      <c r="R8" s="51"/>
      <c r="S8" s="51"/>
      <c r="T8" s="51"/>
      <c r="U8" s="75"/>
      <c r="V8" s="75"/>
      <c r="W8" s="75"/>
      <c r="X8" s="25"/>
      <c r="Y8" s="22"/>
      <c r="Z8" s="24"/>
      <c r="AA8" s="24"/>
      <c r="AB8" s="24"/>
      <c r="AC8" s="24"/>
      <c r="AD8" s="25"/>
      <c r="AE8" s="25"/>
      <c r="AI8" s="1"/>
    </row>
    <row r="9" spans="1:36" x14ac:dyDescent="0.25">
      <c r="B9" s="56">
        <f>B7+B8</f>
        <v>0</v>
      </c>
      <c r="C9" s="56"/>
      <c r="D9" t="s">
        <v>7</v>
      </c>
      <c r="J9" s="68" t="s">
        <v>10</v>
      </c>
      <c r="K9" s="68"/>
      <c r="L9" s="10">
        <v>1</v>
      </c>
      <c r="M9" s="65">
        <f>M8+L9</f>
        <v>1</v>
      </c>
      <c r="N9" s="66"/>
      <c r="O9" s="66"/>
      <c r="P9" s="2"/>
      <c r="Q9" s="51" t="s">
        <v>16</v>
      </c>
      <c r="R9" s="51"/>
      <c r="S9" s="51"/>
      <c r="T9" s="51"/>
      <c r="U9" s="77">
        <f>U8-U7</f>
        <v>0</v>
      </c>
      <c r="V9" s="61"/>
      <c r="W9" s="61"/>
      <c r="X9" s="25"/>
      <c r="Y9" s="22"/>
      <c r="Z9" s="26"/>
      <c r="AA9" s="23" t="s">
        <v>42</v>
      </c>
      <c r="AB9" s="24"/>
      <c r="AC9" s="24"/>
      <c r="AD9" s="34"/>
      <c r="AE9" s="25"/>
      <c r="AI9" s="1"/>
    </row>
    <row r="10" spans="1:36" x14ac:dyDescent="0.25">
      <c r="J10" s="11" t="s">
        <v>11</v>
      </c>
      <c r="K10" s="11"/>
      <c r="L10" s="8"/>
      <c r="M10" s="52">
        <f>M7*M9</f>
        <v>0</v>
      </c>
      <c r="N10" s="53"/>
      <c r="O10" s="53"/>
      <c r="Q10" s="51" t="s">
        <v>22</v>
      </c>
      <c r="R10" s="51"/>
      <c r="S10" s="51"/>
      <c r="T10" s="51"/>
      <c r="U10" s="78" t="e">
        <f>U9/U8</f>
        <v>#DIV/0!</v>
      </c>
      <c r="V10" s="78"/>
      <c r="W10" s="78"/>
      <c r="X10" s="25"/>
      <c r="Y10" s="22"/>
      <c r="Z10" s="24"/>
      <c r="AA10" s="24"/>
      <c r="AB10" s="24"/>
      <c r="AC10" s="24"/>
      <c r="AD10" s="25"/>
      <c r="AE10" s="25"/>
      <c r="AF10" s="35"/>
      <c r="AI10" s="1"/>
    </row>
    <row r="11" spans="1:36" x14ac:dyDescent="0.25">
      <c r="B11" s="64" t="s">
        <v>2</v>
      </c>
      <c r="C11" s="64"/>
      <c r="D11" s="64"/>
      <c r="E11" s="64"/>
      <c r="F11" s="64"/>
      <c r="G11" s="64"/>
      <c r="J11" s="4" t="s">
        <v>16</v>
      </c>
      <c r="K11" s="4"/>
      <c r="L11" s="4"/>
      <c r="M11" s="59">
        <f>M10-M7</f>
        <v>0</v>
      </c>
      <c r="N11" s="60"/>
      <c r="O11" s="60"/>
      <c r="X11" s="25"/>
      <c r="Y11" s="22"/>
      <c r="Z11" s="24"/>
      <c r="AA11" s="21" t="s">
        <v>43</v>
      </c>
      <c r="AB11" s="24"/>
      <c r="AC11" s="24"/>
      <c r="AD11" s="25"/>
      <c r="AE11" s="25"/>
    </row>
    <row r="12" spans="1:36" x14ac:dyDescent="0.25">
      <c r="B12" s="58"/>
      <c r="C12" s="58"/>
      <c r="D12" s="51" t="s">
        <v>12</v>
      </c>
      <c r="E12" s="51"/>
      <c r="F12" s="51"/>
      <c r="J12" s="51"/>
      <c r="K12" s="51"/>
      <c r="L12" s="9"/>
      <c r="M12" s="52"/>
      <c r="N12" s="53"/>
      <c r="O12" s="53"/>
      <c r="X12" s="25"/>
      <c r="Y12" s="22"/>
      <c r="Z12" s="24"/>
      <c r="AA12" s="24"/>
      <c r="AB12" s="24"/>
      <c r="AC12" s="24"/>
      <c r="AD12" s="25"/>
      <c r="AE12" s="25"/>
    </row>
    <row r="13" spans="1:36" x14ac:dyDescent="0.25">
      <c r="B13" s="58"/>
      <c r="C13" s="58"/>
      <c r="D13" s="51" t="s">
        <v>13</v>
      </c>
      <c r="E13" s="51"/>
      <c r="F13" s="51"/>
      <c r="J13" s="4" t="s">
        <v>0</v>
      </c>
      <c r="K13" s="4"/>
      <c r="L13" s="4"/>
      <c r="M13" s="4"/>
      <c r="N13" s="4"/>
      <c r="O13" s="4"/>
      <c r="Q13" s="14" t="s">
        <v>1</v>
      </c>
      <c r="R13" s="14"/>
      <c r="S13" s="14"/>
      <c r="T13" s="14"/>
      <c r="U13" s="14"/>
      <c r="V13" s="14"/>
      <c r="W13" s="14"/>
      <c r="X13" s="25"/>
      <c r="Y13" s="22"/>
      <c r="Z13" s="24"/>
      <c r="AA13" s="24"/>
      <c r="AB13" s="24"/>
      <c r="AC13" s="24"/>
      <c r="AD13" s="25"/>
      <c r="AE13" s="25"/>
    </row>
    <row r="14" spans="1:36" x14ac:dyDescent="0.25">
      <c r="B14" s="58"/>
      <c r="C14" s="58"/>
      <c r="D14" s="51" t="s">
        <v>14</v>
      </c>
      <c r="E14" s="51"/>
      <c r="F14" s="51"/>
      <c r="J14" s="51" t="s">
        <v>16</v>
      </c>
      <c r="K14" s="51"/>
      <c r="L14" s="51"/>
      <c r="M14" s="56">
        <f>M11</f>
        <v>0</v>
      </c>
      <c r="N14" s="56"/>
      <c r="O14" s="56"/>
      <c r="Q14" s="51" t="s">
        <v>34</v>
      </c>
      <c r="R14" s="51"/>
      <c r="S14" s="51"/>
      <c r="T14" s="13"/>
      <c r="U14" s="58"/>
      <c r="V14" s="58"/>
      <c r="W14" s="58"/>
      <c r="Z14" s="25"/>
      <c r="AA14" s="25"/>
      <c r="AB14" s="25"/>
      <c r="AC14" s="25"/>
      <c r="AD14" s="25"/>
      <c r="AE14" s="25"/>
    </row>
    <row r="15" spans="1:36" x14ac:dyDescent="0.25">
      <c r="B15" s="52">
        <f>SUM(B12:C14)</f>
        <v>0</v>
      </c>
      <c r="C15" s="53"/>
      <c r="D15" s="11" t="s">
        <v>15</v>
      </c>
      <c r="E15" s="11"/>
      <c r="F15" s="11"/>
      <c r="J15" s="51" t="s">
        <v>17</v>
      </c>
      <c r="K15" s="51"/>
      <c r="L15" s="51"/>
      <c r="M15" s="56">
        <f>M7</f>
        <v>0</v>
      </c>
      <c r="N15" s="56"/>
      <c r="O15" s="56"/>
      <c r="Q15" s="51" t="s">
        <v>33</v>
      </c>
      <c r="R15" s="51"/>
      <c r="S15" s="51"/>
      <c r="T15" s="13"/>
      <c r="U15" s="58">
        <f>B9</f>
        <v>0</v>
      </c>
      <c r="V15" s="58"/>
      <c r="W15" s="58"/>
      <c r="Y15" s="29"/>
      <c r="Z15" s="44" t="s">
        <v>44</v>
      </c>
      <c r="AA15" s="42"/>
      <c r="AB15" s="42"/>
      <c r="AC15" s="42"/>
      <c r="AD15" s="42"/>
      <c r="AE15" s="42"/>
    </row>
    <row r="16" spans="1:36" x14ac:dyDescent="0.25">
      <c r="J16" s="51" t="s">
        <v>10</v>
      </c>
      <c r="K16" s="51"/>
      <c r="L16" s="51"/>
      <c r="M16" s="61" t="e">
        <f>(M14/M15)*100%</f>
        <v>#DIV/0!</v>
      </c>
      <c r="N16" s="61"/>
      <c r="O16" s="61"/>
      <c r="Q16" s="51" t="s">
        <v>35</v>
      </c>
      <c r="R16" s="51"/>
      <c r="S16" s="51"/>
      <c r="T16" s="15"/>
      <c r="U16" s="79">
        <f>U14-U15</f>
        <v>0</v>
      </c>
      <c r="V16" s="80"/>
      <c r="W16" s="80"/>
      <c r="Y16" s="29"/>
      <c r="Z16" s="43" t="s">
        <v>50</v>
      </c>
      <c r="AA16" s="29"/>
      <c r="AB16" s="29"/>
      <c r="AC16" s="29"/>
      <c r="AD16" s="29"/>
      <c r="AE16" s="29"/>
    </row>
    <row r="17" spans="10:31" x14ac:dyDescent="0.25">
      <c r="J17" s="63" t="s">
        <v>18</v>
      </c>
      <c r="K17" s="63"/>
      <c r="L17" s="63"/>
      <c r="M17" s="62" t="e">
        <f>M14/M10</f>
        <v>#DIV/0!</v>
      </c>
      <c r="N17" s="62"/>
      <c r="O17" s="62"/>
      <c r="Q17" t="s">
        <v>22</v>
      </c>
      <c r="U17" s="78" t="e">
        <f>U16/U14</f>
        <v>#DIV/0!</v>
      </c>
      <c r="V17" s="78"/>
      <c r="W17" s="78"/>
      <c r="Y17" s="29"/>
      <c r="Z17" s="43" t="s">
        <v>51</v>
      </c>
      <c r="AA17" s="29"/>
      <c r="AB17" s="29"/>
      <c r="AC17" s="29"/>
      <c r="AD17" s="29"/>
      <c r="AE17" s="29"/>
    </row>
    <row r="18" spans="10:31" ht="11.25" customHeight="1" x14ac:dyDescent="0.25">
      <c r="M18" s="56"/>
      <c r="N18" s="56"/>
      <c r="O18" s="56"/>
      <c r="Y18" s="29"/>
      <c r="Z18" s="43" t="s">
        <v>52</v>
      </c>
      <c r="AA18" s="29"/>
      <c r="AB18" s="29"/>
      <c r="AC18" s="29"/>
      <c r="AD18" s="29"/>
      <c r="AE18" s="29"/>
    </row>
    <row r="19" spans="10:31" x14ac:dyDescent="0.25">
      <c r="J19" s="57" t="s">
        <v>19</v>
      </c>
      <c r="K19" s="57"/>
      <c r="L19" s="57"/>
      <c r="M19" s="57"/>
      <c r="N19" s="57"/>
      <c r="O19" s="57"/>
      <c r="Q19" s="33" t="s">
        <v>19</v>
      </c>
      <c r="R19" s="33"/>
      <c r="S19" s="33"/>
      <c r="T19" s="33"/>
      <c r="U19" s="33"/>
      <c r="V19" s="33"/>
      <c r="W19" s="14"/>
      <c r="Y19" s="29"/>
      <c r="Z19" s="29"/>
      <c r="AA19" s="29"/>
      <c r="AB19" s="29"/>
      <c r="AC19" s="29"/>
      <c r="AD19" s="29"/>
      <c r="AE19" s="29"/>
    </row>
    <row r="20" spans="10:31" x14ac:dyDescent="0.25">
      <c r="J20" t="s">
        <v>20</v>
      </c>
      <c r="L20" s="18"/>
      <c r="M20" s="58">
        <f>M10*L20</f>
        <v>0</v>
      </c>
      <c r="N20" s="58"/>
      <c r="O20" s="58"/>
      <c r="Q20" t="s">
        <v>20</v>
      </c>
      <c r="T20" s="18"/>
      <c r="U20" s="58">
        <f>U8*T20</f>
        <v>0</v>
      </c>
      <c r="V20" s="58"/>
      <c r="W20" s="58"/>
    </row>
    <row r="21" spans="10:31" x14ac:dyDescent="0.25">
      <c r="J21" t="s">
        <v>23</v>
      </c>
      <c r="L21" s="12"/>
      <c r="M21" s="56">
        <f>M10+M20</f>
        <v>0</v>
      </c>
      <c r="N21" s="56"/>
      <c r="O21" s="56"/>
      <c r="Q21" t="s">
        <v>23</v>
      </c>
      <c r="U21" s="56">
        <f>U14+U20</f>
        <v>0</v>
      </c>
      <c r="V21" s="56"/>
      <c r="W21" s="56"/>
    </row>
    <row r="22" spans="10:31" ht="12.75" customHeight="1" x14ac:dyDescent="0.25">
      <c r="J22" s="54" t="s">
        <v>21</v>
      </c>
      <c r="K22" s="54"/>
      <c r="L22" s="54"/>
      <c r="M22" s="55"/>
      <c r="N22" s="55"/>
      <c r="O22" s="55"/>
      <c r="Q22" s="76" t="s">
        <v>21</v>
      </c>
      <c r="R22" s="76"/>
      <c r="S22" s="76"/>
      <c r="T22" s="76"/>
      <c r="U22" s="55"/>
      <c r="V22" s="55"/>
      <c r="W22" s="55"/>
    </row>
    <row r="23" spans="10:31" ht="15" customHeight="1" x14ac:dyDescent="0.25">
      <c r="J23" s="54"/>
      <c r="K23" s="54"/>
      <c r="L23" s="54"/>
      <c r="M23" s="55"/>
      <c r="N23" s="55"/>
      <c r="O23" s="55"/>
      <c r="Q23" s="76"/>
      <c r="R23" s="76"/>
      <c r="S23" s="76"/>
      <c r="T23" s="76"/>
      <c r="U23" s="55"/>
      <c r="V23" s="55"/>
      <c r="W23" s="55"/>
    </row>
  </sheetData>
  <mergeCells count="54">
    <mergeCell ref="U20:W20"/>
    <mergeCell ref="U21:W21"/>
    <mergeCell ref="Q22:T23"/>
    <mergeCell ref="U22:W23"/>
    <mergeCell ref="AH6:AJ6"/>
    <mergeCell ref="Q9:T9"/>
    <mergeCell ref="U9:W9"/>
    <mergeCell ref="U17:W17"/>
    <mergeCell ref="Q10:T10"/>
    <mergeCell ref="U10:W10"/>
    <mergeCell ref="Q15:S15"/>
    <mergeCell ref="Q16:S16"/>
    <mergeCell ref="U15:W15"/>
    <mergeCell ref="U16:W16"/>
    <mergeCell ref="Q14:S14"/>
    <mergeCell ref="U14:W14"/>
    <mergeCell ref="A4:X4"/>
    <mergeCell ref="B7:C7"/>
    <mergeCell ref="B6:G6"/>
    <mergeCell ref="M7:O7"/>
    <mergeCell ref="M8:O8"/>
    <mergeCell ref="U7:W7"/>
    <mergeCell ref="Q8:T8"/>
    <mergeCell ref="U8:W8"/>
    <mergeCell ref="M9:O9"/>
    <mergeCell ref="M10:O10"/>
    <mergeCell ref="B8:C8"/>
    <mergeCell ref="B9:C9"/>
    <mergeCell ref="J9:K9"/>
    <mergeCell ref="B11:G11"/>
    <mergeCell ref="B12:C12"/>
    <mergeCell ref="B13:C13"/>
    <mergeCell ref="B14:C14"/>
    <mergeCell ref="D12:F12"/>
    <mergeCell ref="D13:F13"/>
    <mergeCell ref="D14:F14"/>
    <mergeCell ref="B15:C15"/>
    <mergeCell ref="J14:L14"/>
    <mergeCell ref="J15:L15"/>
    <mergeCell ref="M11:O11"/>
    <mergeCell ref="M14:O14"/>
    <mergeCell ref="M15:O15"/>
    <mergeCell ref="M16:O16"/>
    <mergeCell ref="M17:O17"/>
    <mergeCell ref="J12:K12"/>
    <mergeCell ref="M12:O12"/>
    <mergeCell ref="J22:L23"/>
    <mergeCell ref="M22:O23"/>
    <mergeCell ref="M21:O21"/>
    <mergeCell ref="J19:O19"/>
    <mergeCell ref="M20:O20"/>
    <mergeCell ref="M18:O18"/>
    <mergeCell ref="J16:L16"/>
    <mergeCell ref="J17:L17"/>
  </mergeCells>
  <hyperlinks>
    <hyperlink ref="AA7" r:id="rId1"/>
    <hyperlink ref="AA9" r:id="rId2"/>
    <hyperlink ref="AA11" r:id="rId3"/>
    <hyperlink ref="Z16" r:id="rId4"/>
    <hyperlink ref="Z17" r:id="rId5"/>
    <hyperlink ref="Z18" r:id="rId6"/>
  </hyperlinks>
  <pageMargins left="0.511811024" right="0.511811024" top="0.78740157499999996" bottom="0.78740157499999996" header="0.31496062000000002" footer="0.31496062000000002"/>
  <pageSetup paperSize="9" scale="82" orientation="landscape" horizontalDpi="0" verticalDpi="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1" sqref="E11"/>
    </sheetView>
  </sheetViews>
  <sheetFormatPr defaultRowHeight="15" x14ac:dyDescent="0.25"/>
  <cols>
    <col min="1" max="1" width="19.85546875" bestFit="1" customWidth="1"/>
    <col min="2" max="2" width="9.5703125" bestFit="1" customWidth="1"/>
    <col min="4" max="4" width="19.85546875" bestFit="1" customWidth="1"/>
    <col min="5" max="5" width="15.140625" customWidth="1"/>
  </cols>
  <sheetData>
    <row r="1" spans="1:5" x14ac:dyDescent="0.25">
      <c r="A1" s="70" t="s">
        <v>40</v>
      </c>
      <c r="B1" s="70"/>
      <c r="D1" s="70" t="s">
        <v>39</v>
      </c>
      <c r="E1" s="70"/>
    </row>
    <row r="2" spans="1:5" x14ac:dyDescent="0.25">
      <c r="A2" t="s">
        <v>24</v>
      </c>
      <c r="B2" s="27"/>
      <c r="D2" t="s">
        <v>26</v>
      </c>
      <c r="E2" s="27"/>
    </row>
    <row r="3" spans="1:5" x14ac:dyDescent="0.25">
      <c r="A3" t="s">
        <v>25</v>
      </c>
      <c r="B3" s="28"/>
      <c r="D3" t="s">
        <v>27</v>
      </c>
      <c r="E3" s="27"/>
    </row>
    <row r="4" spans="1:5" x14ac:dyDescent="0.25">
      <c r="A4" s="30" t="s">
        <v>36</v>
      </c>
      <c r="B4" s="47" t="e">
        <f>B2/B3</f>
        <v>#DIV/0!</v>
      </c>
      <c r="D4" t="s">
        <v>28</v>
      </c>
      <c r="E4" s="27"/>
    </row>
    <row r="5" spans="1:5" x14ac:dyDescent="0.25">
      <c r="D5" t="s">
        <v>29</v>
      </c>
      <c r="E5" s="27"/>
    </row>
    <row r="6" spans="1:5" x14ac:dyDescent="0.25">
      <c r="D6" t="s">
        <v>30</v>
      </c>
      <c r="E6" s="27"/>
    </row>
    <row r="7" spans="1:5" x14ac:dyDescent="0.25">
      <c r="D7" t="s">
        <v>31</v>
      </c>
      <c r="E7" s="27"/>
    </row>
    <row r="8" spans="1:5" x14ac:dyDescent="0.25">
      <c r="D8" t="s">
        <v>32</v>
      </c>
      <c r="E8" s="27"/>
    </row>
    <row r="9" spans="1:5" x14ac:dyDescent="0.25">
      <c r="D9" s="17" t="s">
        <v>37</v>
      </c>
      <c r="E9" s="31">
        <f>SUM(E2:E8)</f>
        <v>0</v>
      </c>
    </row>
    <row r="11" spans="1:5" x14ac:dyDescent="0.25">
      <c r="D11" t="s">
        <v>25</v>
      </c>
      <c r="E11" s="46"/>
    </row>
    <row r="13" spans="1:5" x14ac:dyDescent="0.25">
      <c r="D13" s="30" t="s">
        <v>38</v>
      </c>
      <c r="E13" s="32" t="e">
        <f>E9/E11</f>
        <v>#DIV/0!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E12" sqref="E12"/>
    </sheetView>
  </sheetViews>
  <sheetFormatPr defaultRowHeight="15" x14ac:dyDescent="0.25"/>
  <cols>
    <col min="1" max="1" width="3.85546875" customWidth="1"/>
    <col min="2" max="2" width="7" customWidth="1"/>
    <col min="3" max="3" width="8" customWidth="1"/>
    <col min="4" max="4" width="9.42578125" customWidth="1"/>
    <col min="5" max="5" width="8" customWidth="1"/>
    <col min="6" max="6" width="15.7109375" customWidth="1"/>
    <col min="7" max="7" width="4.7109375" customWidth="1"/>
    <col min="8" max="32" width="5.7109375" customWidth="1"/>
  </cols>
  <sheetData>
    <row r="1" spans="1:12" x14ac:dyDescent="0.25">
      <c r="A1" s="19"/>
      <c r="B1" s="19"/>
      <c r="C1" s="19"/>
      <c r="D1" s="19"/>
      <c r="E1" s="19"/>
      <c r="F1" s="19"/>
      <c r="G1" s="19"/>
      <c r="H1" s="6"/>
      <c r="I1" s="6"/>
    </row>
    <row r="2" spans="1:12" x14ac:dyDescent="0.25">
      <c r="A2" s="19"/>
      <c r="B2" s="19"/>
      <c r="C2" s="19"/>
      <c r="D2" s="19"/>
      <c r="E2" s="19"/>
      <c r="F2" s="19"/>
      <c r="G2" s="19"/>
      <c r="H2" s="6"/>
      <c r="I2" s="6"/>
    </row>
    <row r="3" spans="1:12" ht="6.75" customHeight="1" x14ac:dyDescent="0.25"/>
    <row r="4" spans="1:12" x14ac:dyDescent="0.25">
      <c r="A4" s="69"/>
      <c r="B4" s="69"/>
      <c r="C4" s="69"/>
      <c r="D4" s="69"/>
      <c r="E4" s="69"/>
      <c r="F4" s="69"/>
      <c r="G4" s="69"/>
      <c r="H4" s="5"/>
      <c r="I4" s="48"/>
      <c r="J4" s="17"/>
      <c r="K4" s="17"/>
      <c r="L4" s="17"/>
    </row>
    <row r="5" spans="1:12" ht="9" customHeight="1" x14ac:dyDescent="0.25">
      <c r="H5" s="25"/>
      <c r="I5" s="17"/>
      <c r="J5" s="17"/>
      <c r="K5" s="17"/>
      <c r="L5" s="17"/>
    </row>
    <row r="6" spans="1:12" x14ac:dyDescent="0.25">
      <c r="B6" s="14" t="s">
        <v>1</v>
      </c>
      <c r="C6" s="14"/>
      <c r="D6" s="14"/>
      <c r="E6" s="14"/>
      <c r="F6" s="14"/>
      <c r="G6" s="25"/>
      <c r="I6" s="17">
        <v>1.5</v>
      </c>
      <c r="J6" s="49">
        <v>0.33</v>
      </c>
      <c r="K6" s="17" t="s">
        <v>49</v>
      </c>
      <c r="L6" s="17"/>
    </row>
    <row r="7" spans="1:12" x14ac:dyDescent="0.25">
      <c r="B7" s="51" t="s">
        <v>45</v>
      </c>
      <c r="C7" s="51"/>
      <c r="D7" s="51"/>
      <c r="E7" s="13"/>
      <c r="F7" s="3"/>
      <c r="G7" s="25"/>
      <c r="I7" s="17">
        <v>1.7</v>
      </c>
      <c r="J7" s="49">
        <v>0.4</v>
      </c>
      <c r="K7" s="17" t="s">
        <v>49</v>
      </c>
      <c r="L7" s="17"/>
    </row>
    <row r="8" spans="1:12" x14ac:dyDescent="0.25">
      <c r="B8" s="51" t="s">
        <v>46</v>
      </c>
      <c r="C8" s="51"/>
      <c r="D8" s="51"/>
      <c r="E8" s="13"/>
      <c r="F8" s="3"/>
      <c r="G8" s="25"/>
      <c r="I8" s="50">
        <v>2</v>
      </c>
      <c r="J8" s="49">
        <v>0.5</v>
      </c>
      <c r="K8" s="17" t="s">
        <v>49</v>
      </c>
      <c r="L8" s="17"/>
    </row>
    <row r="9" spans="1:12" x14ac:dyDescent="0.25">
      <c r="A9" s="2"/>
      <c r="B9" s="51" t="s">
        <v>47</v>
      </c>
      <c r="C9" s="51"/>
      <c r="D9" s="51"/>
      <c r="E9" s="15"/>
      <c r="F9" s="16"/>
      <c r="G9" s="25"/>
      <c r="I9" s="17">
        <v>2.5</v>
      </c>
      <c r="J9" s="49">
        <v>0.6</v>
      </c>
      <c r="K9" s="17" t="s">
        <v>49</v>
      </c>
      <c r="L9" s="17"/>
    </row>
    <row r="10" spans="1:12" x14ac:dyDescent="0.25">
      <c r="B10" s="36" t="s">
        <v>7</v>
      </c>
      <c r="C10" s="36"/>
      <c r="D10" s="36"/>
      <c r="E10" s="36"/>
      <c r="F10" s="37">
        <f>F7+F8+F9</f>
        <v>0</v>
      </c>
      <c r="G10" s="25"/>
      <c r="I10" s="50">
        <v>3</v>
      </c>
      <c r="J10" s="49">
        <v>0.66</v>
      </c>
      <c r="K10" s="17" t="s">
        <v>49</v>
      </c>
      <c r="L10" s="17"/>
    </row>
    <row r="11" spans="1:12" ht="15" customHeight="1" x14ac:dyDescent="0.25">
      <c r="F11" s="7"/>
      <c r="I11" s="17">
        <v>3.5</v>
      </c>
      <c r="J11" s="49">
        <v>0.7</v>
      </c>
      <c r="K11" s="17" t="s">
        <v>49</v>
      </c>
      <c r="L11" s="17"/>
    </row>
    <row r="12" spans="1:12" x14ac:dyDescent="0.25">
      <c r="B12" t="s">
        <v>8</v>
      </c>
      <c r="E12" s="40"/>
      <c r="F12" s="7">
        <f>F10*E12</f>
        <v>0</v>
      </c>
      <c r="I12" s="17"/>
      <c r="J12" s="17"/>
      <c r="K12" s="17"/>
      <c r="L12" s="17"/>
    </row>
    <row r="13" spans="1:12" x14ac:dyDescent="0.25">
      <c r="B13" t="s">
        <v>16</v>
      </c>
      <c r="F13" s="38">
        <f>F12-F10</f>
        <v>0</v>
      </c>
      <c r="I13" s="17"/>
      <c r="J13" s="17"/>
      <c r="K13" s="17"/>
      <c r="L13" s="17"/>
    </row>
    <row r="14" spans="1:12" x14ac:dyDescent="0.25">
      <c r="B14" t="s">
        <v>48</v>
      </c>
      <c r="F14" s="39" t="e">
        <f>F13/F12</f>
        <v>#DIV/0!</v>
      </c>
    </row>
  </sheetData>
  <mergeCells count="4">
    <mergeCell ref="B9:D9"/>
    <mergeCell ref="B7:D7"/>
    <mergeCell ref="B8:D8"/>
    <mergeCell ref="A4:G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PREÇO CERTO</vt:lpstr>
      <vt:lpstr>FRETE</vt:lpstr>
      <vt:lpstr>PREÇO SIMPLES</vt:lpstr>
      <vt:lpstr>'PREÇO CERTO'!Area_de_impressao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cp:lastPrinted>2020-10-27T19:52:06Z</cp:lastPrinted>
  <dcterms:created xsi:type="dcterms:W3CDTF">2020-10-27T02:25:50Z</dcterms:created>
  <dcterms:modified xsi:type="dcterms:W3CDTF">2020-10-27T22:36:42Z</dcterms:modified>
</cp:coreProperties>
</file>